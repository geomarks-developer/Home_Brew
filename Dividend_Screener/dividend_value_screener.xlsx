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rks\Home_Brew\Home_Brew\Dividend_Screener\"/>
    </mc:Choice>
  </mc:AlternateContent>
  <xr:revisionPtr revIDLastSave="0" documentId="13_ncr:1_{71BEE99F-360C-4E91-95B8-4DA60AA4FBB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_xlnm._FilterDatabase" localSheetId="0" hidden="1">Sheet1!$A$1:$L$18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2" i="1"/>
</calcChain>
</file>

<file path=xl/sharedStrings.xml><?xml version="1.0" encoding="utf-8"?>
<sst xmlns="http://schemas.openxmlformats.org/spreadsheetml/2006/main" count="63" uniqueCount="54">
  <si>
    <t>Ticker</t>
  </si>
  <si>
    <t>Name</t>
  </si>
  <si>
    <t>Sector</t>
  </si>
  <si>
    <t>Price</t>
  </si>
  <si>
    <t>MA 50 Day</t>
  </si>
  <si>
    <t>MA 200 Day</t>
  </si>
  <si>
    <t>Dividend Yield %</t>
  </si>
  <si>
    <t>Forward P/E</t>
  </si>
  <si>
    <t>Price/Book</t>
  </si>
  <si>
    <t>Payout Ratio</t>
  </si>
  <si>
    <t>EPS (Trailing)</t>
  </si>
  <si>
    <t>TROW</t>
  </si>
  <si>
    <t>T. Rowe Price Group, Inc.</t>
  </si>
  <si>
    <t>Financial Services</t>
  </si>
  <si>
    <t>ES</t>
  </si>
  <si>
    <t>Eversource Energy (D/B/A)</t>
  </si>
  <si>
    <t>Utilities</t>
  </si>
  <si>
    <t>MKC</t>
  </si>
  <si>
    <t>McCormick &amp; Company, Incorporat</t>
  </si>
  <si>
    <t>Consumer Defensive</t>
  </si>
  <si>
    <t>CVX</t>
  </si>
  <si>
    <t>Chevron Corporation</t>
  </si>
  <si>
    <t>Energy</t>
  </si>
  <si>
    <t>ED</t>
  </si>
  <si>
    <t>Consolidated Edison, Inc.</t>
  </si>
  <si>
    <t>MCD</t>
  </si>
  <si>
    <t>McDonald's Corporation</t>
  </si>
  <si>
    <t>Consumer Cyclical</t>
  </si>
  <si>
    <t>NEE</t>
  </si>
  <si>
    <t>NextEra Energy, Inc.</t>
  </si>
  <si>
    <t>MDT</t>
  </si>
  <si>
    <t>Medtronic plc.</t>
  </si>
  <si>
    <t>Healthcare</t>
  </si>
  <si>
    <t>PPG</t>
  </si>
  <si>
    <t>PPG Industries, Inc.</t>
  </si>
  <si>
    <t>Basic Materials</t>
  </si>
  <si>
    <t>LOW</t>
  </si>
  <si>
    <t>Lowe's Companies, Inc.</t>
  </si>
  <si>
    <t>ADM</t>
  </si>
  <si>
    <t>Archer-Daniels-Midland Company</t>
  </si>
  <si>
    <t>ATO</t>
  </si>
  <si>
    <t>Atmos Energy Corporation</t>
  </si>
  <si>
    <t>XOM</t>
  </si>
  <si>
    <t>ExxonMobil Holdings Corporation</t>
  </si>
  <si>
    <t>CINF</t>
  </si>
  <si>
    <t>Cincinnati Financial Corporatio</t>
  </si>
  <si>
    <t>BDX</t>
  </si>
  <si>
    <t>Becton, Dickinson and Company</t>
  </si>
  <si>
    <t>AFL</t>
  </si>
  <si>
    <t>AFLAC Incorporated</t>
  </si>
  <si>
    <t>PNR</t>
  </si>
  <si>
    <t>Pentair plc.</t>
  </si>
  <si>
    <t>Industrials</t>
  </si>
  <si>
    <t>Above MA 200d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</si>
</sst>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18"/>
  <sheetViews>
    <sheetView tabSelected="1" workbookViewId="0">
      <selection activeCell="C28" sqref="C28"/>
    </sheetView>
  </sheetViews>
  <sheetFormatPr defaultColWidth="9.1328125" defaultRowHeight="14.25" x14ac:dyDescent="0.45"/>
  <cols>
    <col min="1" max="1" width="5.73046875" bestFit="1" customWidth="1"/>
    <col min="2" max="2" width="28.53125" bestFit="1" customWidth="1"/>
    <col min="3" max="3" width="16.86328125" bestFit="1" customWidth="1"/>
    <col min="4" max="4" width="6.73046875" bestFit="1" customWidth="1"/>
    <col min="5" max="5" width="9.46484375" bestFit="1" customWidth="1"/>
    <col min="6" max="6" width="10.46484375" bestFit="1" customWidth="1"/>
    <col min="7" max="7" width="13.86328125" bestFit="1" customWidth="1"/>
    <col min="8" max="8" width="10.3984375" bestFit="1" customWidth="1"/>
    <col min="9" max="9" width="9.265625" bestFit="1" customWidth="1"/>
    <col min="10" max="10" width="10.796875" bestFit="1" customWidth="1"/>
    <col min="11" max="11" width="11.06640625" bestFit="1" customWidth="1"/>
    <col min="12" max="12" width="13.46484375" bestFit="1" customWidth="1"/>
  </cols>
  <sheetData>
    <row r="1" spans="1:12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53</v>
      </c>
    </row>
    <row r="2" spans="1:12" hidden="1" x14ac:dyDescent="0.45">
      <c r="A2" t="s">
        <v>11</v>
      </c>
      <c r="B2" t="s">
        <v>12</v>
      </c>
      <c r="C2" t="s">
        <v>13</v>
      </c>
      <c r="D2">
        <v>99.62</v>
      </c>
      <c r="E2">
        <v>108.2062</v>
      </c>
      <c r="F2">
        <v>103.8716</v>
      </c>
      <c r="G2">
        <v>5.0999999999999996</v>
      </c>
      <c r="H2">
        <v>9.6999999999999993</v>
      </c>
      <c r="I2">
        <v>1.9</v>
      </c>
      <c r="J2">
        <v>0.52</v>
      </c>
      <c r="K2">
        <v>9.9600000000000009</v>
      </c>
      <c r="L2" t="b">
        <f>F2&lt;D2</f>
        <v>0</v>
      </c>
    </row>
    <row r="3" spans="1:12" hidden="1" x14ac:dyDescent="0.45">
      <c r="A3" t="s">
        <v>14</v>
      </c>
      <c r="B3" t="s">
        <v>15</v>
      </c>
      <c r="C3" t="s">
        <v>16</v>
      </c>
      <c r="D3">
        <v>66.67</v>
      </c>
      <c r="E3">
        <v>68.791799999999995</v>
      </c>
      <c r="F3">
        <v>70.084149999999994</v>
      </c>
      <c r="G3">
        <v>4.8</v>
      </c>
      <c r="H3">
        <v>13.5</v>
      </c>
      <c r="I3">
        <v>1.5</v>
      </c>
      <c r="J3">
        <v>0.65</v>
      </c>
      <c r="K3">
        <v>3.86</v>
      </c>
      <c r="L3" t="b">
        <f t="shared" ref="L3:L18" si="0">F3&lt;D3</f>
        <v>0</v>
      </c>
    </row>
    <row r="4" spans="1:12" hidden="1" x14ac:dyDescent="0.45">
      <c r="A4" t="s">
        <v>17</v>
      </c>
      <c r="B4" t="s">
        <v>18</v>
      </c>
      <c r="C4" t="s">
        <v>19</v>
      </c>
      <c r="D4">
        <v>44.8</v>
      </c>
      <c r="E4">
        <v>50.875799999999998</v>
      </c>
      <c r="F4">
        <v>54.689450000000001</v>
      </c>
      <c r="G4">
        <v>4.3</v>
      </c>
      <c r="H4">
        <v>13.9</v>
      </c>
      <c r="I4">
        <v>1.7</v>
      </c>
      <c r="J4">
        <v>0.34</v>
      </c>
      <c r="K4">
        <v>5.53</v>
      </c>
      <c r="L4" t="b">
        <f t="shared" si="0"/>
        <v>0</v>
      </c>
    </row>
    <row r="5" spans="1:12" x14ac:dyDescent="0.45">
      <c r="A5" t="s">
        <v>20</v>
      </c>
      <c r="B5" t="s">
        <v>21</v>
      </c>
      <c r="C5" t="s">
        <v>22</v>
      </c>
      <c r="D5">
        <v>222.04</v>
      </c>
      <c r="E5">
        <v>205.12620000000001</v>
      </c>
      <c r="F5">
        <v>188.80025000000001</v>
      </c>
      <c r="G5">
        <v>3.3</v>
      </c>
      <c r="H5">
        <v>14.7</v>
      </c>
      <c r="I5">
        <v>2.2999999999999998</v>
      </c>
      <c r="J5">
        <v>0.67</v>
      </c>
      <c r="K5">
        <v>10.39</v>
      </c>
      <c r="L5" t="b">
        <f t="shared" si="0"/>
        <v>1</v>
      </c>
    </row>
    <row r="6" spans="1:12" x14ac:dyDescent="0.45">
      <c r="A6" t="s">
        <v>23</v>
      </c>
      <c r="B6" t="s">
        <v>24</v>
      </c>
      <c r="C6" t="s">
        <v>16</v>
      </c>
      <c r="D6">
        <v>109.6</v>
      </c>
      <c r="E6">
        <v>106.3646</v>
      </c>
      <c r="F6">
        <v>108.12835</v>
      </c>
      <c r="G6">
        <v>3.3</v>
      </c>
      <c r="H6">
        <v>16.899999999999999</v>
      </c>
      <c r="I6">
        <v>1.6</v>
      </c>
      <c r="J6">
        <v>0.56999999999999995</v>
      </c>
      <c r="K6">
        <v>6.07</v>
      </c>
      <c r="L6" t="b">
        <f t="shared" si="0"/>
        <v>1</v>
      </c>
    </row>
    <row r="7" spans="1:12" hidden="1" x14ac:dyDescent="0.45">
      <c r="A7" t="s">
        <v>25</v>
      </c>
      <c r="B7" t="s">
        <v>26</v>
      </c>
      <c r="C7" t="s">
        <v>27</v>
      </c>
      <c r="D7">
        <v>238.31</v>
      </c>
      <c r="E7">
        <v>254.3604</v>
      </c>
      <c r="F7">
        <v>286.96809999999999</v>
      </c>
      <c r="G7">
        <v>3.3</v>
      </c>
      <c r="H7">
        <v>17.3</v>
      </c>
      <c r="I7">
        <v>-164.8</v>
      </c>
      <c r="J7">
        <v>0.6</v>
      </c>
      <c r="K7">
        <v>12.31</v>
      </c>
      <c r="L7" t="b">
        <f t="shared" si="0"/>
        <v>0</v>
      </c>
    </row>
    <row r="8" spans="1:12" hidden="1" x14ac:dyDescent="0.45">
      <c r="A8" t="s">
        <v>28</v>
      </c>
      <c r="B8" t="s">
        <v>29</v>
      </c>
      <c r="C8" t="s">
        <v>16</v>
      </c>
      <c r="D8">
        <v>78.37</v>
      </c>
      <c r="E8">
        <v>81.563599999999994</v>
      </c>
      <c r="F8">
        <v>87.311250000000001</v>
      </c>
      <c r="G8">
        <v>3.2</v>
      </c>
      <c r="H8">
        <v>17.899999999999999</v>
      </c>
      <c r="I8">
        <v>2.9</v>
      </c>
      <c r="J8">
        <v>0.53</v>
      </c>
      <c r="K8">
        <v>4.45</v>
      </c>
      <c r="L8" t="b">
        <f t="shared" si="0"/>
        <v>0</v>
      </c>
    </row>
    <row r="9" spans="1:12" x14ac:dyDescent="0.45">
      <c r="A9" t="s">
        <v>30</v>
      </c>
      <c r="B9" t="s">
        <v>31</v>
      </c>
      <c r="C9" t="s">
        <v>32</v>
      </c>
      <c r="D9">
        <v>94.23</v>
      </c>
      <c r="E9">
        <v>90.363200000000006</v>
      </c>
      <c r="F9">
        <v>88.32835</v>
      </c>
      <c r="G9">
        <v>3.1</v>
      </c>
      <c r="H9">
        <v>14.7</v>
      </c>
      <c r="I9">
        <v>2.4</v>
      </c>
      <c r="J9">
        <v>0.7</v>
      </c>
      <c r="K9">
        <v>4.07</v>
      </c>
      <c r="L9" t="b">
        <f t="shared" si="0"/>
        <v>1</v>
      </c>
    </row>
    <row r="10" spans="1:12" hidden="1" x14ac:dyDescent="0.45">
      <c r="A10" t="s">
        <v>33</v>
      </c>
      <c r="B10" t="s">
        <v>34</v>
      </c>
      <c r="C10" t="s">
        <v>35</v>
      </c>
      <c r="D10">
        <v>104.87</v>
      </c>
      <c r="E10">
        <v>109.7714</v>
      </c>
      <c r="F10">
        <v>112.03715</v>
      </c>
      <c r="G10">
        <v>2.8</v>
      </c>
      <c r="H10">
        <v>12.2</v>
      </c>
      <c r="I10">
        <v>2.8</v>
      </c>
      <c r="J10">
        <v>0.41</v>
      </c>
      <c r="K10">
        <v>6.96</v>
      </c>
      <c r="L10" t="b">
        <f t="shared" si="0"/>
        <v>0</v>
      </c>
    </row>
    <row r="11" spans="1:12" hidden="1" x14ac:dyDescent="0.45">
      <c r="A11" t="s">
        <v>36</v>
      </c>
      <c r="B11" t="s">
        <v>37</v>
      </c>
      <c r="C11" t="s">
        <v>27</v>
      </c>
      <c r="D11">
        <v>188.31</v>
      </c>
      <c r="E11">
        <v>201.27860000000001</v>
      </c>
      <c r="F11">
        <v>229.52590000000001</v>
      </c>
      <c r="G11">
        <v>2.6</v>
      </c>
      <c r="H11">
        <v>14.5</v>
      </c>
      <c r="I11">
        <v>-14.2</v>
      </c>
      <c r="J11">
        <v>0.41</v>
      </c>
      <c r="K11">
        <v>11.83</v>
      </c>
      <c r="L11" t="b">
        <f t="shared" si="0"/>
        <v>0</v>
      </c>
    </row>
    <row r="12" spans="1:12" x14ac:dyDescent="0.45">
      <c r="A12" t="s">
        <v>38</v>
      </c>
      <c r="B12" t="s">
        <v>39</v>
      </c>
      <c r="C12" t="s">
        <v>19</v>
      </c>
      <c r="D12">
        <v>83.64</v>
      </c>
      <c r="E12">
        <v>81.9114</v>
      </c>
      <c r="F12">
        <v>75.236599999999996</v>
      </c>
      <c r="G12">
        <v>2.5</v>
      </c>
      <c r="H12">
        <v>14.8</v>
      </c>
      <c r="I12">
        <v>1.7</v>
      </c>
      <c r="J12">
        <v>0.56000000000000005</v>
      </c>
      <c r="K12">
        <v>3.65</v>
      </c>
      <c r="L12" t="b">
        <f t="shared" si="0"/>
        <v>1</v>
      </c>
    </row>
    <row r="13" spans="1:12" hidden="1" x14ac:dyDescent="0.45">
      <c r="A13" t="s">
        <v>40</v>
      </c>
      <c r="B13" t="s">
        <v>41</v>
      </c>
      <c r="C13" t="s">
        <v>16</v>
      </c>
      <c r="D13">
        <v>163.94</v>
      </c>
      <c r="E13">
        <v>164.55459999999999</v>
      </c>
      <c r="F13">
        <v>174.22424000000001</v>
      </c>
      <c r="G13">
        <v>2.5</v>
      </c>
      <c r="H13">
        <v>18.2</v>
      </c>
      <c r="I13">
        <v>1.8</v>
      </c>
      <c r="J13">
        <v>0.46</v>
      </c>
      <c r="K13">
        <v>8.39</v>
      </c>
      <c r="L13" t="b">
        <f t="shared" si="0"/>
        <v>0</v>
      </c>
    </row>
    <row r="14" spans="1:12" x14ac:dyDescent="0.45">
      <c r="A14" t="s">
        <v>42</v>
      </c>
      <c r="B14" t="s">
        <v>43</v>
      </c>
      <c r="C14" t="s">
        <v>22</v>
      </c>
      <c r="D14">
        <v>177.01</v>
      </c>
      <c r="E14">
        <v>162.28380000000001</v>
      </c>
      <c r="F14">
        <v>150.8663</v>
      </c>
      <c r="G14">
        <v>2.4</v>
      </c>
      <c r="H14">
        <v>15.3</v>
      </c>
      <c r="I14">
        <v>2.8</v>
      </c>
      <c r="J14">
        <v>0.53</v>
      </c>
      <c r="K14">
        <v>7.77</v>
      </c>
      <c r="L14" t="b">
        <f t="shared" si="0"/>
        <v>1</v>
      </c>
    </row>
    <row r="15" spans="1:12" hidden="1" x14ac:dyDescent="0.45">
      <c r="A15" t="s">
        <v>44</v>
      </c>
      <c r="B15" t="s">
        <v>45</v>
      </c>
      <c r="C15" t="s">
        <v>13</v>
      </c>
      <c r="D15">
        <v>166.67</v>
      </c>
      <c r="E15">
        <v>168.95140000000001</v>
      </c>
      <c r="F15">
        <v>167.3621</v>
      </c>
      <c r="G15">
        <v>2.2999999999999998</v>
      </c>
      <c r="H15">
        <v>18.399999999999999</v>
      </c>
      <c r="I15">
        <v>1.5</v>
      </c>
      <c r="J15">
        <v>0.17</v>
      </c>
      <c r="K15">
        <v>21.18</v>
      </c>
      <c r="L15" t="b">
        <f t="shared" si="0"/>
        <v>0</v>
      </c>
    </row>
    <row r="16" spans="1:12" x14ac:dyDescent="0.45">
      <c r="A16" t="s">
        <v>46</v>
      </c>
      <c r="B16" t="s">
        <v>47</v>
      </c>
      <c r="C16" t="s">
        <v>32</v>
      </c>
      <c r="D16">
        <v>188.89</v>
      </c>
      <c r="E16">
        <v>182.74539999999999</v>
      </c>
      <c r="F16">
        <v>163.53452999999999</v>
      </c>
      <c r="G16">
        <v>2.2000000000000002</v>
      </c>
      <c r="H16">
        <v>14.2</v>
      </c>
      <c r="I16">
        <v>2.1</v>
      </c>
      <c r="J16">
        <v>0.72</v>
      </c>
      <c r="K16">
        <v>4.3</v>
      </c>
      <c r="L16" t="b">
        <f t="shared" si="0"/>
        <v>1</v>
      </c>
    </row>
    <row r="17" spans="1:12" x14ac:dyDescent="0.45">
      <c r="A17" t="s">
        <v>48</v>
      </c>
      <c r="B17" t="s">
        <v>49</v>
      </c>
      <c r="C17" t="s">
        <v>13</v>
      </c>
      <c r="D17">
        <v>118.21</v>
      </c>
      <c r="E17">
        <v>116.96599999999999</v>
      </c>
      <c r="F17">
        <v>115.179</v>
      </c>
      <c r="G17">
        <v>2.1</v>
      </c>
      <c r="H17">
        <v>15.5</v>
      </c>
      <c r="I17">
        <v>2</v>
      </c>
      <c r="J17">
        <v>0.26</v>
      </c>
      <c r="K17">
        <v>9.3000000000000007</v>
      </c>
      <c r="L17" t="b">
        <f t="shared" si="0"/>
        <v>1</v>
      </c>
    </row>
    <row r="18" spans="1:12" hidden="1" x14ac:dyDescent="0.45">
      <c r="A18" t="s">
        <v>50</v>
      </c>
      <c r="B18" t="s">
        <v>51</v>
      </c>
      <c r="C18" t="s">
        <v>52</v>
      </c>
      <c r="D18">
        <v>52.11</v>
      </c>
      <c r="E18">
        <v>59.214199999999998</v>
      </c>
      <c r="F18">
        <v>79.2149</v>
      </c>
      <c r="G18">
        <v>2</v>
      </c>
      <c r="H18">
        <v>9.9</v>
      </c>
      <c r="I18">
        <v>2.2000000000000002</v>
      </c>
      <c r="J18">
        <v>0.27</v>
      </c>
      <c r="K18">
        <v>3.88</v>
      </c>
      <c r="L18" t="b">
        <f t="shared" si="0"/>
        <v>0</v>
      </c>
    </row>
  </sheetData>
  <autoFilter ref="A1:L18" xr:uid="{00000000-0001-0000-0000-000000000000}">
    <filterColumn colId="11">
      <filters>
        <filter val="TRUE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Marks</cp:lastModifiedBy>
  <dcterms:created xsi:type="dcterms:W3CDTF">2026-10-15T00:16:52Z</dcterms:created>
  <dcterms:modified xsi:type="dcterms:W3CDTF">2026-10-15T00:18:23Z</dcterms:modified>
</cp:coreProperties>
</file>